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bedded_Responses" sheetId="1" r:id="rId4"/>
    <sheet state="visible" name="Engineer_Credentials" sheetId="2" r:id="rId5"/>
    <sheet state="visible" name="Pending_Projects" sheetId="3" r:id="rId6"/>
    <sheet state="visible" name="TempProjectCreator" sheetId="4" r:id="rId7"/>
    <sheet state="visible" name="TempProjectTasks" sheetId="5" r:id="rId8"/>
    <sheet state="visible" name="Eng_Mohaned_Team" sheetId="6" r:id="rId9"/>
    <sheet state="visible" name="Eng_Seif_Team" sheetId="7" r:id="rId10"/>
    <sheet state="visible" name="Eng_Rawan_Team" sheetId="8" r:id="rId11"/>
    <sheet state="visible" name="Eng_Nehal_Team" sheetId="9" r:id="rId12"/>
    <sheet state="visible" name="Eng_Maged_Team" sheetId="10" r:id="rId13"/>
    <sheet state="visible" name="Projects_Tasks" sheetId="11" r:id="rId14"/>
    <sheet state="visible" name="Project_List" sheetId="12" r:id="rId15"/>
    <sheet state="visible" name="AI_Data_Responses" sheetId="13" r:id="rId16"/>
    <sheet state="visible" name="Mechanical_Responses" sheetId="14" r:id="rId17"/>
    <sheet state="visible" name="VisualGraphic_Responses" sheetId="15" r:id="rId18"/>
    <sheet state="visible" name="Manager Dashboard" sheetId="16" r:id="rId19"/>
    <sheet state="visible" name="Team_Mapping" sheetId="17" r:id="rId20"/>
    <sheet state="visible" name="Custom_Tasks" sheetId="18" r:id="rId21"/>
    <sheet state="visible" name="Tasks" sheetId="19" r:id="rId22"/>
    <sheet state="visible" name="Project_Timeline" sheetId="20" r:id="rId23"/>
    <sheet state="visible" name="Engineer History Viewer" sheetId="21" r:id="rId24"/>
    <sheet state="visible" name="Access_Control" sheetId="22" r:id="rId25"/>
    <sheet state="visible" name="Analytics Dashboard" sheetId="23" r:id="rId26"/>
    <sheet state="visible" name="Dashboard" sheetId="24" r:id="rId27"/>
    <sheet state="visible" name="Master_Log" sheetId="25" r:id="rId28"/>
    <sheet state="visible" name="Senior_Review" sheetId="26" r:id="rId29"/>
    <sheet state="visible" name="Embedded_Reports" sheetId="27" r:id="rId30"/>
    <sheet state="visible" name="AI_Reports" sheetId="28" r:id="rId31"/>
    <sheet state="visible" name="Mechanical_Reports" sheetId="29" r:id="rId32"/>
  </sheets>
  <definedNames/>
  <calcPr/>
</workbook>
</file>

<file path=xl/sharedStrings.xml><?xml version="1.0" encoding="utf-8"?>
<sst xmlns="http://schemas.openxmlformats.org/spreadsheetml/2006/main" count="602" uniqueCount="206">
  <si>
    <t>Timestamp</t>
  </si>
  <si>
    <t>Task Name</t>
  </si>
  <si>
    <t>Engineer</t>
  </si>
  <si>
    <t>Department</t>
  </si>
  <si>
    <t>Project</t>
  </si>
  <si>
    <t>Task ID</t>
  </si>
  <si>
    <t>Description</t>
  </si>
  <si>
    <t>Start Time</t>
  </si>
  <si>
    <t>End Time</t>
  </si>
  <si>
    <t>Status</t>
  </si>
  <si>
    <t>Engineer_ID</t>
  </si>
  <si>
    <t>Name</t>
  </si>
  <si>
    <t>Password</t>
  </si>
  <si>
    <t>Last_Login</t>
  </si>
  <si>
    <t>eng_seif</t>
  </si>
  <si>
    <t>Eng. Seif</t>
  </si>
  <si>
    <t>password123</t>
  </si>
  <si>
    <t>Embedded</t>
  </si>
  <si>
    <t>eng_mohaned</t>
  </si>
  <si>
    <t>Eng. Mohaned</t>
  </si>
  <si>
    <t>Mechanical</t>
  </si>
  <si>
    <t>eng_maged</t>
  </si>
  <si>
    <t>Eng. Maged</t>
  </si>
  <si>
    <t>AI</t>
  </si>
  <si>
    <t>eng_rawan</t>
  </si>
  <si>
    <t>Eng. Rawan</t>
  </si>
  <si>
    <t>Visual/Graphic</t>
  </si>
  <si>
    <t>eng_nehal</t>
  </si>
  <si>
    <t>Eng. Nehal</t>
  </si>
  <si>
    <t>Flutter</t>
  </si>
  <si>
    <t>assem_murad</t>
  </si>
  <si>
    <t>Assem Murad</t>
  </si>
  <si>
    <t>eng_asem</t>
  </si>
  <si>
    <t>Eng. Asem Alroomy</t>
  </si>
  <si>
    <t>Project ID</t>
  </si>
  <si>
    <t>Project Name</t>
  </si>
  <si>
    <t>Deadline</t>
  </si>
  <si>
    <t>Departments</t>
  </si>
  <si>
    <t>Tasks</t>
  </si>
  <si>
    <t>Created By</t>
  </si>
  <si>
    <t>Created At</t>
  </si>
  <si>
    <t>PROJ_202510300_221242</t>
  </si>
  <si>
    <t>bb test</t>
  </si>
  <si>
    <t>Educational STEM project with modular components</t>
  </si>
  <si>
    <t>[{"status":"Not Started","name":"Requirements Analysis &amp; Planning","assignedTo":"","id":"BBT-01","description":"Requirements Analysis &amp; Planning for bb test","department":"","deadline":"2025-11-26"},{"department":"","id":"BBT-02","name":"Design &amp; Architecture","status":"Not Started","deadline":"2025-11-26","assignedTo":"","description":"Design &amp; Architecture for bb test"},{"id":"BBT-03","name":"Development &amp; Implementation","assignedTo":"","deadline":"2025-11-26","status":"Not Started","department":"","description":"Development &amp; Implementation for bb test"}]</t>
  </si>
  <si>
    <t>asemalroomy5@gmail.com</t>
  </si>
  <si>
    <t>Pending Review</t>
  </si>
  <si>
    <t>ProjectName</t>
  </si>
  <si>
    <t>ProjectDescription</t>
  </si>
  <si>
    <t>ProjectDeadline</t>
  </si>
  <si>
    <t>Engineers</t>
  </si>
  <si>
    <t>Notifications</t>
  </si>
  <si>
    <t>TaskCount</t>
  </si>
  <si>
    <t>LastUpdated</t>
  </si>
  <si>
    <t>Generic Kit</t>
  </si>
  <si>
    <t>Project description</t>
  </si>
  <si>
    <t>Mechanical,Embedded</t>
  </si>
  <si>
    <t>Assem Murad,Ahmed Mohsen,Eng. Asem Alroomy</t>
  </si>
  <si>
    <t>CTO:true,Managers:true,Engineers:true</t>
  </si>
  <si>
    <t>TaskIndex</t>
  </si>
  <si>
    <t>TaskID</t>
  </si>
  <si>
    <t>TaskName</t>
  </si>
  <si>
    <t>AssignedTo</t>
  </si>
  <si>
    <t>GK-001</t>
  </si>
  <si>
    <t>Generic Kit - Requirements &amp; Planning</t>
  </si>
  <si>
    <t>Define project requirements, scope, and initial planning</t>
  </si>
  <si>
    <t>GK-002</t>
  </si>
  <si>
    <t>Generic Kit - Design &amp; Architecture</t>
  </si>
  <si>
    <t>Create system architecture and design specifications</t>
  </si>
  <si>
    <t>GK-003</t>
  </si>
  <si>
    <t>Generic Kit - Development &amp; Implementation</t>
  </si>
  <si>
    <t>Ahmed Mohsen</t>
  </si>
  <si>
    <t>Main development and implementation work</t>
  </si>
  <si>
    <t>Date</t>
  </si>
  <si>
    <t>Feature/Module</t>
  </si>
  <si>
    <t>Ref</t>
  </si>
  <si>
    <t>Notes</t>
  </si>
  <si>
    <t>Assigner</t>
  </si>
  <si>
    <t>DurationHours</t>
  </si>
  <si>
    <t>tesr</t>
  </si>
  <si>
    <t>Alf Bot</t>
  </si>
  <si>
    <t>Custom</t>
  </si>
  <si>
    <t>test</t>
  </si>
  <si>
    <t>Done</t>
  </si>
  <si>
    <t>b</t>
  </si>
  <si>
    <t>bb</t>
  </si>
  <si>
    <t>Ongoing</t>
  </si>
  <si>
    <t>Type</t>
  </si>
  <si>
    <t>Department(s)</t>
  </si>
  <si>
    <t>Manager</t>
  </si>
  <si>
    <t>Assigned To</t>
  </si>
  <si>
    <t>GEN</t>
  </si>
  <si>
    <t xml:space="preserve">Generic Kit Phase1 </t>
  </si>
  <si>
    <t>Mechanical, Visual/Graphic</t>
  </si>
  <si>
    <t>Active</t>
  </si>
  <si>
    <t>CTO</t>
  </si>
  <si>
    <t>Task</t>
  </si>
  <si>
    <t>GEN-01</t>
  </si>
  <si>
    <t>Alef Bot Generic Concept</t>
  </si>
  <si>
    <t>-Slice Alef Bot on SlicerForFusion
-Try 2 different sizes to make the descicsion
-Export DXFs, Fabricate and Assemble
-iterate if needed and finalize
-present the models</t>
  </si>
  <si>
    <t>GEN-02</t>
  </si>
  <si>
    <t>Robotic Arm Generic Concept</t>
  </si>
  <si>
    <t>Haisam</t>
  </si>
  <si>
    <t>-Review the generic kit models
-import needed files
-design Robot Arm Links (3DOF)
-Design Robot Gripper
-Design Servo motor mount</t>
  </si>
  <si>
    <t>GEN-03</t>
  </si>
  <si>
    <t>Generic House Modifications</t>
  </si>
  <si>
    <t>-Reduce size to 150 x 150 x 250 mm
-Change single Links in the base to FRAMES</t>
  </si>
  <si>
    <t>SUM</t>
  </si>
  <si>
    <t xml:space="preserve">Sumo Car Kit </t>
  </si>
  <si>
    <t xml:space="preserve">Educational STEM project for the upcoming Event </t>
  </si>
  <si>
    <t>SUM-01</t>
  </si>
  <si>
    <t xml:space="preserve">Designing the figures </t>
  </si>
  <si>
    <t xml:space="preserve">Designing the figures  for Sumo Car Kit </t>
  </si>
  <si>
    <t>SUM-02</t>
  </si>
  <si>
    <t xml:space="preserve">Printing the figures </t>
  </si>
  <si>
    <t xml:space="preserve">Printing the figures  Sumo Car Kit </t>
  </si>
  <si>
    <t>SUM-03</t>
  </si>
  <si>
    <t xml:space="preserve">Printing the figures  for Sumo Car Kit </t>
  </si>
  <si>
    <t>SUM-04</t>
  </si>
  <si>
    <t xml:space="preserve">add Colors to the figures </t>
  </si>
  <si>
    <t xml:space="preserve">add Colors to the figures  for Sumo Car Kit </t>
  </si>
  <si>
    <t>SUM-05</t>
  </si>
  <si>
    <t>Nouran</t>
  </si>
  <si>
    <t>RC Car</t>
  </si>
  <si>
    <t>Hydroponics</t>
  </si>
  <si>
    <t>Eng. Mohanad</t>
  </si>
  <si>
    <t>Pyra Brain</t>
  </si>
  <si>
    <t>Embedded, AI</t>
  </si>
  <si>
    <t>Curriculum Bots Design</t>
  </si>
  <si>
    <t>Eng. Ahmed Mohsen</t>
  </si>
  <si>
    <t>haythamkhaledeng@gmail.com</t>
  </si>
  <si>
    <t>3D printing a clearance palette</t>
  </si>
  <si>
    <t>CUSTOM_1761575110567</t>
  </si>
  <si>
    <t>ahmedmohsen4h4@gmail.com</t>
  </si>
  <si>
    <t>Printing the figures</t>
  </si>
  <si>
    <t>Printing the figures  for Sumo Car Kit</t>
  </si>
  <si>
    <t xml:space="preserve">elegoo 3d printer </t>
  </si>
  <si>
    <t>CUSTOM_1761640851671</t>
  </si>
  <si>
    <t>Performed maintenance on the printer head of the 3D printer.
Cleaned and inspected the head to ensure proper resin flow and movement.
Removed any cured resin and checked nozzle alignment.
Verified smooth operation after reassembly.</t>
  </si>
  <si>
    <t>Total Reports</t>
  </si>
  <si>
    <t>Unique Members</t>
  </si>
  <si>
    <t>Last Submission</t>
  </si>
  <si>
    <t>Pending Members</t>
  </si>
  <si>
    <t>No reports found in the last 7 days.</t>
  </si>
  <si>
    <t>Senior Name</t>
  </si>
  <si>
    <t>Junior Name</t>
  </si>
  <si>
    <t>Email</t>
  </si>
  <si>
    <t>Role</t>
  </si>
  <si>
    <t>Level</t>
  </si>
  <si>
    <t>eng.mohaned@pyramakerz.com</t>
  </si>
  <si>
    <t>Senior</t>
  </si>
  <si>
    <t>assem.murad@pyramakerz.com</t>
  </si>
  <si>
    <t>Junior</t>
  </si>
  <si>
    <t xml:space="preserve">Ahmed Mohsen </t>
  </si>
  <si>
    <t>eng.seif@pyramakerz.com</t>
  </si>
  <si>
    <t>asem_h@outlook.com</t>
  </si>
  <si>
    <t>Rawan.Aleithy@pyramakerz.com</t>
  </si>
  <si>
    <t>eng.nehal@pyramakerz.com</t>
  </si>
  <si>
    <t>eng.maged@pyramakerz.com</t>
  </si>
  <si>
    <t xml:space="preserve">Haisam </t>
  </si>
  <si>
    <t xml:space="preserve">Nouran </t>
  </si>
  <si>
    <t>junior</t>
  </si>
  <si>
    <t>Engineer Name</t>
  </si>
  <si>
    <t>Task Type</t>
  </si>
  <si>
    <t>Hours Spent</t>
  </si>
  <si>
    <t>Task_ID</t>
  </si>
  <si>
    <t>Project_ID</t>
  </si>
  <si>
    <t>Project_Name</t>
  </si>
  <si>
    <t>Task_Name</t>
  </si>
  <si>
    <t>Start_Date</t>
  </si>
  <si>
    <t>End_Date</t>
  </si>
  <si>
    <t xml:space="preserve">Start_Date </t>
  </si>
  <si>
    <t>Progress</t>
  </si>
  <si>
    <t>Report history for: Asem Alroomy</t>
  </si>
  <si>
    <t>Asem Alroomy</t>
  </si>
  <si>
    <t>No reports found.</t>
  </si>
  <si>
    <t>Access Level</t>
  </si>
  <si>
    <t>Executive</t>
  </si>
  <si>
    <t>All</t>
  </si>
  <si>
    <t>Full Access</t>
  </si>
  <si>
    <t>cto@pyramakerz.com</t>
  </si>
  <si>
    <t>Team Access</t>
  </si>
  <si>
    <t>eng.rawan@pyramakerz.com</t>
  </si>
  <si>
    <t>Self Access</t>
  </si>
  <si>
    <t>eng.asem@pyramakerz.com</t>
  </si>
  <si>
    <t>No data available yet.</t>
  </si>
  <si>
    <t>📊 Daily Reporting Dashboard</t>
  </si>
  <si>
    <t>✅ System Check Passed</t>
  </si>
  <si>
    <t>Metric</t>
  </si>
  <si>
    <t>Value</t>
  </si>
  <si>
    <t>Total Reports (All)</t>
  </si>
  <si>
    <t>Embedded Reports</t>
  </si>
  <si>
    <t>AI Reports</t>
  </si>
  <si>
    <t>Mechanical Reports</t>
  </si>
  <si>
    <t>LoggedAt</t>
  </si>
  <si>
    <t>Feature</t>
  </si>
  <si>
    <t>ShortDesc</t>
  </si>
  <si>
    <t>ReviewDate</t>
  </si>
  <si>
    <t>Comments</t>
  </si>
  <si>
    <t>Approval</t>
  </si>
  <si>
    <t>Git Ref</t>
  </si>
  <si>
    <t>Model/Task</t>
  </si>
  <si>
    <t>Dataset/Module</t>
  </si>
  <si>
    <t>Experiment/Git</t>
  </si>
  <si>
    <t>Part/Assembly</t>
  </si>
  <si>
    <t>CAD/Ref</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</si>
</sst>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yyyy-mm-dd"/>
    <numFmt numFmtId="166" formatCode="m/d/yyyy"/>
    <numFmt numFmtId="167" formatCode="yyyy-mm-dd h:mm:ss"/>
  </numFmts>
  <fonts count="4">
    <font>
      <sz val="10.0"/>
      <color rgb="FF000000"/>
      <name val="Arial"/>
      <scheme val="minor"/>
    </font>
    <font>
      <color theme="1"/>
      <name val="Arial"/>
      <scheme val="minor"/>
    </font>
    <font>
      <b/>
      <color theme="1"/>
      <name val="Arial"/>
      <scheme val="minor"/>
    </font>
    <font>
      <b/>
      <sz val="16.0"/>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2" numFmtId="0" xfId="0" applyAlignment="1" applyFont="1">
      <alignment readingOrder="0"/>
    </xf>
    <xf borderId="0" fillId="0" fontId="1" numFmtId="1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 numFmtId="0" xfId="0" applyFont="1"/>
    <xf borderId="0" fillId="0" fontId="3" numFmtId="0" xfId="0" applyAlignment="1" applyFont="1">
      <alignment readingOrder="0"/>
    </xf>
    <xf borderId="0" fillId="0" fontId="1" numFmtId="167" xfId="0" applyAlignment="1" applyFont="1" applyNumberFormat="1">
      <alignment readingOrder="0"/>
    </xf>
    <xf borderId="0" fillId="2" fontId="2" numFmtId="0" xfId="0" applyAlignment="1" applyFill="1" applyFont="1">
      <alignment readingOrder="0"/>
    </xf>
    <xf borderId="1" fillId="0" fontId="1" numFmtId="0" xfId="0" applyAlignment="1" applyBorder="1" applyFont="1">
      <alignment readingOrder="0"/>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Reports by Department</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Dashboard!$A$5:$A$7</c:f>
            </c:strRef>
          </c:cat>
          <c:val>
            <c:numRef>
              <c:f>Dashboard!$B$5:$B$7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drawings/_rels/drawing2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5715000" cy="35337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8.0"/>
    <col customWidth="1" min="3" max="3" width="21.25"/>
    <col customWidth="1" min="4" max="4" width="9.75"/>
    <col customWidth="1" min="5" max="5" width="6.5"/>
  </cols>
  <sheetData>
    <row r="1">
      <c r="A1" s="1" t="s">
        <v>0</v>
      </c>
      <c r="B1" s="1" t="s">
        <v>1</v>
      </c>
      <c r="C1" s="1" t="s">
        <v>2</v>
      </c>
      <c r="D1" s="1" t="s">
        <v>3</v>
      </c>
      <c r="E1" s="1" t="s">
        <v>4</v>
      </c>
      <c r="F1" s="1" t="s">
        <v>5</v>
      </c>
      <c r="G1" s="1" t="s">
        <v>6</v>
      </c>
      <c r="H1" s="1" t="s">
        <v>7</v>
      </c>
      <c r="I1" s="1" t="s">
        <v>8</v>
      </c>
      <c r="J1" s="1" t="s">
        <v>9</v>
      </c>
    </row>
    <row r="2">
      <c r="A2" s="2"/>
      <c r="H2" s="3"/>
      <c r="I2" s="3"/>
    </row>
    <row r="3">
      <c r="A3" s="2"/>
      <c r="H3" s="3"/>
      <c r="I3" s="3"/>
    </row>
    <row r="4">
      <c r="A4" s="2"/>
      <c r="H4" s="3"/>
      <c r="I4" s="3"/>
    </row>
    <row r="5">
      <c r="A5" s="2"/>
      <c r="H5" s="3"/>
      <c r="I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15.13"/>
    <col customWidth="1" min="3" max="3" width="10.75"/>
    <col customWidth="1" min="4" max="4" width="11.63"/>
    <col customWidth="1" min="5" max="5" width="8.88"/>
  </cols>
  <sheetData>
    <row r="1">
      <c r="A1" s="4" t="s">
        <v>10</v>
      </c>
      <c r="B1" s="4" t="s">
        <v>11</v>
      </c>
      <c r="C1" s="4" t="s">
        <v>12</v>
      </c>
      <c r="D1" s="4" t="s">
        <v>3</v>
      </c>
      <c r="E1" s="4" t="s">
        <v>13</v>
      </c>
    </row>
    <row r="2">
      <c r="A2" s="1" t="s">
        <v>14</v>
      </c>
      <c r="B2" s="1" t="s">
        <v>15</v>
      </c>
      <c r="C2" s="1" t="s">
        <v>16</v>
      </c>
      <c r="D2" s="1" t="s">
        <v>17</v>
      </c>
      <c r="E2" s="5">
        <v>45958.70952364583</v>
      </c>
    </row>
    <row r="3">
      <c r="A3" s="1" t="s">
        <v>18</v>
      </c>
      <c r="B3" s="1" t="s">
        <v>19</v>
      </c>
      <c r="C3" s="1" t="s">
        <v>16</v>
      </c>
      <c r="D3" s="1" t="s">
        <v>20</v>
      </c>
    </row>
    <row r="4">
      <c r="A4" s="1" t="s">
        <v>21</v>
      </c>
      <c r="B4" s="1" t="s">
        <v>22</v>
      </c>
      <c r="C4" s="1" t="s">
        <v>16</v>
      </c>
      <c r="D4" s="1" t="s">
        <v>23</v>
      </c>
    </row>
    <row r="5">
      <c r="A5" s="1" t="s">
        <v>24</v>
      </c>
      <c r="B5" s="1" t="s">
        <v>25</v>
      </c>
      <c r="C5" s="1" t="s">
        <v>16</v>
      </c>
      <c r="D5" s="1" t="s">
        <v>26</v>
      </c>
    </row>
    <row r="6">
      <c r="A6" s="1" t="s">
        <v>27</v>
      </c>
      <c r="B6" s="1" t="s">
        <v>28</v>
      </c>
      <c r="C6" s="1" t="s">
        <v>16</v>
      </c>
      <c r="D6" s="1" t="s">
        <v>29</v>
      </c>
    </row>
    <row r="7">
      <c r="A7" s="1" t="s">
        <v>30</v>
      </c>
      <c r="B7" s="1" t="s">
        <v>31</v>
      </c>
      <c r="C7" s="1" t="s">
        <v>16</v>
      </c>
      <c r="D7" s="1" t="s">
        <v>20</v>
      </c>
    </row>
    <row r="8">
      <c r="A8" s="1" t="s">
        <v>32</v>
      </c>
      <c r="B8" s="1" t="s">
        <v>33</v>
      </c>
      <c r="C8" s="1" t="s">
        <v>16</v>
      </c>
      <c r="D8" s="1" t="s">
        <v>17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v>
      </c>
      <c r="B1" s="1" t="s">
        <v>35</v>
      </c>
      <c r="C1" s="1" t="s">
        <v>6</v>
      </c>
      <c r="D1" s="1" t="s">
        <v>36</v>
      </c>
      <c r="E1" s="1" t="s">
        <v>37</v>
      </c>
      <c r="F1" s="1" t="s">
        <v>38</v>
      </c>
      <c r="G1" s="1" t="s">
        <v>39</v>
      </c>
      <c r="H1" s="1" t="s">
        <v>40</v>
      </c>
      <c r="I1" s="1" t="s">
        <v>9</v>
      </c>
    </row>
    <row r="2">
      <c r="A2" s="1" t="s">
        <v>41</v>
      </c>
      <c r="B2" s="1" t="s">
        <v>42</v>
      </c>
      <c r="C2" s="1" t="s">
        <v>43</v>
      </c>
      <c r="D2" s="6">
        <v>45987.0</v>
      </c>
      <c r="E2" s="1" t="s">
        <v>23</v>
      </c>
      <c r="F2" s="1" t="s">
        <v>44</v>
      </c>
      <c r="G2" s="1" t="s">
        <v>45</v>
      </c>
      <c r="H2" s="2">
        <v>45957.92550125</v>
      </c>
      <c r="I2" s="1" t="s">
        <v>46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14.75"/>
    <col customWidth="1" min="3" max="3" width="12.75"/>
    <col customWidth="1" min="4" max="4" width="18.0"/>
    <col customWidth="1" min="5" max="5" width="38.63"/>
    <col customWidth="1" min="6" max="6" width="30.38"/>
  </cols>
  <sheetData>
    <row r="1">
      <c r="A1" s="1" t="s">
        <v>47</v>
      </c>
      <c r="B1" s="1" t="s">
        <v>48</v>
      </c>
      <c r="C1" s="1" t="s">
        <v>49</v>
      </c>
      <c r="D1" s="1" t="s">
        <v>37</v>
      </c>
      <c r="E1" s="1" t="s">
        <v>50</v>
      </c>
      <c r="F1" s="1" t="s">
        <v>51</v>
      </c>
      <c r="G1" s="1" t="s">
        <v>52</v>
      </c>
      <c r="H1" s="1" t="s">
        <v>53</v>
      </c>
    </row>
    <row r="2">
      <c r="A2" s="1" t="s">
        <v>54</v>
      </c>
      <c r="B2" s="1" t="s">
        <v>55</v>
      </c>
      <c r="C2" s="6">
        <v>45981.0</v>
      </c>
      <c r="D2" s="1" t="s">
        <v>56</v>
      </c>
      <c r="E2" s="1" t="s">
        <v>57</v>
      </c>
      <c r="F2" s="1" t="s">
        <v>58</v>
      </c>
      <c r="G2" s="7">
        <v>3.0</v>
      </c>
      <c r="H2" s="5">
        <v>45952.550636087966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59</v>
      </c>
      <c r="B1" s="1" t="s">
        <v>60</v>
      </c>
      <c r="C1" s="1" t="s">
        <v>61</v>
      </c>
      <c r="D1" s="1" t="s">
        <v>3</v>
      </c>
      <c r="E1" s="1" t="s">
        <v>62</v>
      </c>
      <c r="F1" s="1" t="s">
        <v>6</v>
      </c>
      <c r="G1" s="1" t="s">
        <v>36</v>
      </c>
    </row>
    <row r="2">
      <c r="A2" s="7">
        <v>1.0</v>
      </c>
      <c r="B2" s="1" t="s">
        <v>63</v>
      </c>
      <c r="C2" s="1" t="s">
        <v>64</v>
      </c>
      <c r="D2" s="1" t="s">
        <v>20</v>
      </c>
      <c r="E2" s="1" t="s">
        <v>31</v>
      </c>
      <c r="F2" s="1" t="s">
        <v>65</v>
      </c>
      <c r="G2" s="6">
        <v>45981.0</v>
      </c>
    </row>
    <row r="3">
      <c r="A3" s="7">
        <v>2.0</v>
      </c>
      <c r="B3" s="1" t="s">
        <v>66</v>
      </c>
      <c r="C3" s="1" t="s">
        <v>67</v>
      </c>
      <c r="D3" s="1" t="s">
        <v>20</v>
      </c>
      <c r="E3" s="1" t="s">
        <v>31</v>
      </c>
      <c r="F3" s="1" t="s">
        <v>68</v>
      </c>
      <c r="G3" s="6">
        <v>45981.0</v>
      </c>
    </row>
    <row r="4">
      <c r="A4" s="7">
        <v>3.0</v>
      </c>
      <c r="B4" s="1" t="s">
        <v>69</v>
      </c>
      <c r="C4" s="1" t="s">
        <v>70</v>
      </c>
      <c r="D4" s="1" t="s">
        <v>20</v>
      </c>
      <c r="E4" s="1" t="s">
        <v>71</v>
      </c>
      <c r="F4" s="1" t="s">
        <v>72</v>
      </c>
      <c r="G4" s="6">
        <v>45981.0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73</v>
      </c>
      <c r="C1" s="1" t="s">
        <v>2</v>
      </c>
      <c r="D1" s="1" t="s">
        <v>3</v>
      </c>
      <c r="E1" s="1" t="s">
        <v>4</v>
      </c>
      <c r="F1" s="1" t="s">
        <v>60</v>
      </c>
      <c r="G1" s="1" t="s">
        <v>74</v>
      </c>
      <c r="H1" s="1" t="s">
        <v>6</v>
      </c>
      <c r="I1" s="1" t="s">
        <v>7</v>
      </c>
      <c r="J1" s="1" t="s">
        <v>8</v>
      </c>
      <c r="K1" s="1" t="s">
        <v>75</v>
      </c>
      <c r="L1" s="1" t="s">
        <v>9</v>
      </c>
      <c r="M1" s="1" t="s">
        <v>76</v>
      </c>
      <c r="N1" s="1" t="s">
        <v>77</v>
      </c>
      <c r="O1" s="1" t="s">
        <v>78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73</v>
      </c>
      <c r="C1" s="1" t="s">
        <v>2</v>
      </c>
      <c r="D1" s="1" t="s">
        <v>3</v>
      </c>
      <c r="E1" s="1" t="s">
        <v>4</v>
      </c>
      <c r="F1" s="1" t="s">
        <v>60</v>
      </c>
      <c r="G1" s="1" t="s">
        <v>74</v>
      </c>
      <c r="H1" s="1" t="s">
        <v>6</v>
      </c>
      <c r="I1" s="1" t="s">
        <v>7</v>
      </c>
      <c r="J1" s="1" t="s">
        <v>8</v>
      </c>
      <c r="K1" s="1" t="s">
        <v>75</v>
      </c>
      <c r="L1" s="1" t="s">
        <v>9</v>
      </c>
      <c r="M1" s="1" t="s">
        <v>76</v>
      </c>
      <c r="N1" s="1" t="s">
        <v>77</v>
      </c>
      <c r="O1" s="1" t="s">
        <v>78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73</v>
      </c>
      <c r="C1" s="1" t="s">
        <v>2</v>
      </c>
      <c r="D1" s="1" t="s">
        <v>3</v>
      </c>
      <c r="E1" s="1" t="s">
        <v>4</v>
      </c>
      <c r="F1" s="1" t="s">
        <v>60</v>
      </c>
      <c r="G1" s="1" t="s">
        <v>74</v>
      </c>
      <c r="H1" s="1" t="s">
        <v>6</v>
      </c>
      <c r="I1" s="1" t="s">
        <v>7</v>
      </c>
      <c r="J1" s="1" t="s">
        <v>8</v>
      </c>
      <c r="K1" s="1" t="s">
        <v>75</v>
      </c>
      <c r="L1" s="1" t="s">
        <v>9</v>
      </c>
      <c r="M1" s="1" t="s">
        <v>76</v>
      </c>
      <c r="N1" s="1" t="s">
        <v>77</v>
      </c>
      <c r="O1" s="1" t="s">
        <v>78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73</v>
      </c>
      <c r="C1" s="1" t="s">
        <v>2</v>
      </c>
      <c r="D1" s="1" t="s">
        <v>3</v>
      </c>
      <c r="E1" s="1" t="s">
        <v>4</v>
      </c>
      <c r="F1" s="1" t="s">
        <v>60</v>
      </c>
      <c r="G1" s="1" t="s">
        <v>74</v>
      </c>
      <c r="H1" s="1" t="s">
        <v>6</v>
      </c>
      <c r="I1" s="1" t="s">
        <v>7</v>
      </c>
      <c r="J1" s="1" t="s">
        <v>8</v>
      </c>
      <c r="K1" s="1" t="s">
        <v>75</v>
      </c>
      <c r="L1" s="1" t="s">
        <v>9</v>
      </c>
      <c r="M1" s="1" t="s">
        <v>76</v>
      </c>
      <c r="N1" s="1" t="s">
        <v>77</v>
      </c>
      <c r="O1" s="1" t="s">
        <v>78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73</v>
      </c>
      <c r="C1" s="1" t="s">
        <v>2</v>
      </c>
      <c r="D1" s="1" t="s">
        <v>3</v>
      </c>
      <c r="E1" s="1" t="s">
        <v>4</v>
      </c>
      <c r="F1" s="1" t="s">
        <v>60</v>
      </c>
      <c r="G1" s="1" t="s">
        <v>74</v>
      </c>
      <c r="H1" s="1" t="s">
        <v>6</v>
      </c>
      <c r="I1" s="1" t="s">
        <v>7</v>
      </c>
      <c r="J1" s="1" t="s">
        <v>8</v>
      </c>
      <c r="K1" s="1" t="s">
        <v>75</v>
      </c>
      <c r="L1" s="1" t="s">
        <v>9</v>
      </c>
      <c r="M1" s="1" t="s">
        <v>76</v>
      </c>
      <c r="N1" s="1" t="s">
        <v>77</v>
      </c>
      <c r="O1" s="1" t="s">
        <v>78</v>
      </c>
    </row>
    <row r="2">
      <c r="A2" s="5">
        <v>45951.47221309028</v>
      </c>
      <c r="B2" s="1" t="s">
        <v>79</v>
      </c>
      <c r="C2" s="1" t="s">
        <v>45</v>
      </c>
      <c r="D2" s="1" t="s">
        <v>23</v>
      </c>
      <c r="E2" s="1" t="s">
        <v>80</v>
      </c>
      <c r="F2" s="1" t="s">
        <v>81</v>
      </c>
      <c r="G2" s="1" t="s">
        <v>82</v>
      </c>
      <c r="H2" s="5">
        <v>0.375</v>
      </c>
      <c r="I2" s="5">
        <v>0.4166666666678793</v>
      </c>
      <c r="J2" s="1" t="s">
        <v>83</v>
      </c>
    </row>
    <row r="3">
      <c r="A3" s="5">
        <v>45951.47221309028</v>
      </c>
      <c r="B3" s="1" t="s">
        <v>84</v>
      </c>
      <c r="C3" s="1" t="s">
        <v>45</v>
      </c>
      <c r="D3" s="1" t="s">
        <v>23</v>
      </c>
      <c r="E3" s="1" t="s">
        <v>80</v>
      </c>
      <c r="G3" s="1" t="s">
        <v>85</v>
      </c>
      <c r="H3" s="5">
        <v>0.4166666666678793</v>
      </c>
      <c r="I3" s="5">
        <v>0.4583333333321207</v>
      </c>
      <c r="J3" s="1" t="s">
        <v>86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38"/>
    <col customWidth="1" min="3" max="3" width="18.5"/>
    <col customWidth="1" min="4" max="4" width="21.13"/>
    <col customWidth="1" min="6" max="6" width="16.5"/>
    <col customWidth="1" min="7" max="7" width="18.75"/>
    <col customWidth="1" min="8" max="8" width="22.0"/>
    <col customWidth="1" min="11" max="11" width="37.63"/>
    <col customWidth="1" min="12" max="12" width="39.13"/>
  </cols>
  <sheetData>
    <row r="1">
      <c r="A1" s="1" t="s">
        <v>87</v>
      </c>
      <c r="B1" s="1" t="s">
        <v>34</v>
      </c>
      <c r="C1" s="1" t="s">
        <v>35</v>
      </c>
      <c r="D1" s="1" t="s">
        <v>88</v>
      </c>
      <c r="E1" s="1" t="s">
        <v>9</v>
      </c>
      <c r="F1" s="1" t="s">
        <v>89</v>
      </c>
      <c r="G1" s="1" t="s">
        <v>5</v>
      </c>
      <c r="H1" s="1" t="s">
        <v>1</v>
      </c>
      <c r="I1" s="1" t="s">
        <v>90</v>
      </c>
      <c r="J1" s="1" t="s">
        <v>3</v>
      </c>
      <c r="K1" s="1" t="s">
        <v>76</v>
      </c>
      <c r="L1" s="1" t="s">
        <v>36</v>
      </c>
    </row>
    <row r="2">
      <c r="L2" s="6"/>
    </row>
    <row r="3">
      <c r="L3" s="6"/>
    </row>
    <row r="4">
      <c r="L4" s="6"/>
    </row>
    <row r="5">
      <c r="L5" s="6"/>
    </row>
    <row r="6">
      <c r="L6" s="6"/>
    </row>
    <row r="7">
      <c r="L7" s="6"/>
    </row>
    <row r="8">
      <c r="A8" s="1" t="s">
        <v>4</v>
      </c>
      <c r="B8" s="1" t="s">
        <v>91</v>
      </c>
      <c r="C8" s="1" t="s">
        <v>92</v>
      </c>
      <c r="D8" s="1" t="s">
        <v>93</v>
      </c>
      <c r="E8" s="1" t="s">
        <v>94</v>
      </c>
      <c r="F8" s="1" t="s">
        <v>95</v>
      </c>
      <c r="K8" s="1" t="s">
        <v>43</v>
      </c>
      <c r="L8" s="6">
        <v>45976.0</v>
      </c>
    </row>
    <row r="9">
      <c r="A9" s="1" t="s">
        <v>96</v>
      </c>
      <c r="B9" s="1" t="s">
        <v>91</v>
      </c>
      <c r="C9" s="1" t="s">
        <v>92</v>
      </c>
      <c r="G9" s="1" t="s">
        <v>97</v>
      </c>
      <c r="H9" s="1" t="s">
        <v>98</v>
      </c>
      <c r="I9" s="1" t="s">
        <v>25</v>
      </c>
      <c r="J9" s="1" t="s">
        <v>26</v>
      </c>
      <c r="K9" s="1" t="s">
        <v>99</v>
      </c>
      <c r="L9" s="6">
        <v>45959.0</v>
      </c>
    </row>
    <row r="10">
      <c r="A10" s="1" t="s">
        <v>96</v>
      </c>
      <c r="B10" s="1" t="s">
        <v>91</v>
      </c>
      <c r="C10" s="1" t="s">
        <v>92</v>
      </c>
      <c r="G10" s="1" t="s">
        <v>100</v>
      </c>
      <c r="H10" s="1" t="s">
        <v>101</v>
      </c>
      <c r="I10" s="1" t="s">
        <v>102</v>
      </c>
      <c r="J10" s="1" t="s">
        <v>20</v>
      </c>
      <c r="K10" s="1" t="s">
        <v>103</v>
      </c>
      <c r="L10" s="6">
        <v>45959.0</v>
      </c>
    </row>
    <row r="11">
      <c r="A11" s="1" t="s">
        <v>96</v>
      </c>
      <c r="B11" s="1" t="s">
        <v>91</v>
      </c>
      <c r="C11" s="1" t="s">
        <v>92</v>
      </c>
      <c r="G11" s="1" t="s">
        <v>104</v>
      </c>
      <c r="H11" s="1" t="s">
        <v>105</v>
      </c>
      <c r="I11" s="1" t="s">
        <v>71</v>
      </c>
      <c r="J11" s="1" t="s">
        <v>20</v>
      </c>
      <c r="K11" s="1" t="s">
        <v>106</v>
      </c>
      <c r="L11" s="6">
        <v>45959.0</v>
      </c>
    </row>
    <row r="12">
      <c r="A12" s="1" t="s">
        <v>4</v>
      </c>
      <c r="B12" s="1" t="s">
        <v>107</v>
      </c>
      <c r="C12" s="1" t="s">
        <v>108</v>
      </c>
      <c r="D12" s="1" t="s">
        <v>26</v>
      </c>
      <c r="E12" s="1" t="s">
        <v>94</v>
      </c>
      <c r="F12" s="1" t="s">
        <v>95</v>
      </c>
      <c r="K12" s="1" t="s">
        <v>109</v>
      </c>
      <c r="L12" s="6">
        <v>45960.0</v>
      </c>
    </row>
    <row r="13">
      <c r="A13" s="1" t="s">
        <v>96</v>
      </c>
      <c r="B13" s="1" t="s">
        <v>107</v>
      </c>
      <c r="C13" s="1" t="s">
        <v>108</v>
      </c>
      <c r="G13" s="1" t="s">
        <v>110</v>
      </c>
      <c r="H13" s="1" t="s">
        <v>111</v>
      </c>
      <c r="I13" s="1" t="s">
        <v>25</v>
      </c>
      <c r="J13" s="1" t="s">
        <v>26</v>
      </c>
      <c r="K13" s="1" t="s">
        <v>112</v>
      </c>
      <c r="L13" s="6">
        <v>45960.0</v>
      </c>
    </row>
    <row r="14">
      <c r="A14" s="1" t="s">
        <v>96</v>
      </c>
      <c r="B14" s="1" t="s">
        <v>107</v>
      </c>
      <c r="C14" s="1" t="s">
        <v>108</v>
      </c>
      <c r="G14" s="1" t="s">
        <v>113</v>
      </c>
      <c r="H14" s="1" t="s">
        <v>114</v>
      </c>
      <c r="I14" s="1" t="s">
        <v>25</v>
      </c>
      <c r="J14" s="1" t="s">
        <v>26</v>
      </c>
      <c r="K14" s="1" t="s">
        <v>115</v>
      </c>
      <c r="L14" s="6">
        <v>45960.0</v>
      </c>
    </row>
    <row r="15">
      <c r="A15" s="1" t="s">
        <v>96</v>
      </c>
      <c r="B15" s="1" t="s">
        <v>107</v>
      </c>
      <c r="C15" s="1" t="s">
        <v>108</v>
      </c>
      <c r="G15" s="1" t="s">
        <v>116</v>
      </c>
      <c r="H15" s="1" t="s">
        <v>114</v>
      </c>
      <c r="I15" s="1" t="s">
        <v>71</v>
      </c>
      <c r="J15" s="1" t="s">
        <v>20</v>
      </c>
      <c r="K15" s="1" t="s">
        <v>117</v>
      </c>
      <c r="L15" s="6">
        <v>45960.0</v>
      </c>
    </row>
    <row r="16">
      <c r="A16" s="1" t="s">
        <v>96</v>
      </c>
      <c r="B16" s="1" t="s">
        <v>107</v>
      </c>
      <c r="C16" s="1" t="s">
        <v>108</v>
      </c>
      <c r="G16" s="1" t="s">
        <v>118</v>
      </c>
      <c r="H16" s="1" t="s">
        <v>119</v>
      </c>
      <c r="I16" s="1" t="s">
        <v>25</v>
      </c>
      <c r="J16" s="1" t="s">
        <v>26</v>
      </c>
      <c r="K16" s="1" t="s">
        <v>120</v>
      </c>
      <c r="L16" s="6">
        <v>45960.0</v>
      </c>
    </row>
    <row r="17">
      <c r="A17" s="1" t="s">
        <v>96</v>
      </c>
      <c r="B17" s="1" t="s">
        <v>107</v>
      </c>
      <c r="C17" s="1" t="s">
        <v>108</v>
      </c>
      <c r="G17" s="1" t="s">
        <v>121</v>
      </c>
      <c r="H17" s="1" t="s">
        <v>119</v>
      </c>
      <c r="I17" s="1" t="s">
        <v>122</v>
      </c>
      <c r="J17" s="1" t="s">
        <v>26</v>
      </c>
      <c r="K17" s="1" t="s">
        <v>120</v>
      </c>
      <c r="L17" s="6">
        <v>45960.0</v>
      </c>
    </row>
    <row r="18">
      <c r="L18" s="6"/>
    </row>
    <row r="19">
      <c r="L19" s="6"/>
    </row>
    <row r="20">
      <c r="L20" s="6"/>
    </row>
    <row r="21">
      <c r="L21" s="6"/>
    </row>
    <row r="22">
      <c r="L22" s="6"/>
    </row>
    <row r="23">
      <c r="L23" s="6"/>
    </row>
    <row r="24">
      <c r="L24" s="6"/>
    </row>
    <row r="25">
      <c r="L25" s="6"/>
    </row>
    <row r="26">
      <c r="L26" s="6"/>
    </row>
    <row r="27">
      <c r="L27" s="6"/>
    </row>
    <row r="28">
      <c r="L28" s="6"/>
    </row>
    <row r="29">
      <c r="L29" s="6"/>
    </row>
    <row r="30">
      <c r="L30" s="6"/>
    </row>
    <row r="31">
      <c r="L31" s="6"/>
    </row>
    <row r="32">
      <c r="L32" s="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35</v>
      </c>
      <c r="B1" s="1" t="s">
        <v>88</v>
      </c>
      <c r="C1" s="1" t="s">
        <v>9</v>
      </c>
      <c r="D1" s="1" t="s">
        <v>89</v>
      </c>
    </row>
    <row r="2">
      <c r="A2" s="1" t="s">
        <v>123</v>
      </c>
      <c r="B2" s="1" t="s">
        <v>17</v>
      </c>
      <c r="C2" s="1" t="s">
        <v>94</v>
      </c>
      <c r="D2" s="1" t="s">
        <v>15</v>
      </c>
    </row>
    <row r="3">
      <c r="A3" s="1" t="s">
        <v>124</v>
      </c>
      <c r="B3" s="1" t="s">
        <v>20</v>
      </c>
      <c r="C3" s="1" t="s">
        <v>94</v>
      </c>
      <c r="D3" s="1" t="s">
        <v>15</v>
      </c>
    </row>
    <row r="4">
      <c r="A4" s="1" t="s">
        <v>54</v>
      </c>
      <c r="B4" s="1" t="s">
        <v>20</v>
      </c>
      <c r="C4" s="1" t="s">
        <v>94</v>
      </c>
      <c r="D4" s="1" t="s">
        <v>125</v>
      </c>
    </row>
    <row r="5">
      <c r="A5" s="1" t="s">
        <v>80</v>
      </c>
      <c r="B5" s="1" t="s">
        <v>23</v>
      </c>
      <c r="C5" s="1" t="s">
        <v>94</v>
      </c>
      <c r="D5" s="1" t="s">
        <v>22</v>
      </c>
    </row>
    <row r="6">
      <c r="A6" s="1" t="s">
        <v>126</v>
      </c>
      <c r="B6" s="1" t="s">
        <v>127</v>
      </c>
      <c r="C6" s="1" t="s">
        <v>94</v>
      </c>
      <c r="D6" s="1" t="s">
        <v>15</v>
      </c>
    </row>
    <row r="7">
      <c r="A7" s="1" t="s">
        <v>128</v>
      </c>
      <c r="B7" s="1" t="s">
        <v>20</v>
      </c>
      <c r="C7" s="1" t="s">
        <v>94</v>
      </c>
      <c r="D7" s="1" t="s">
        <v>129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s>
  <sheetData>
    <row r="1">
      <c r="A1" s="1" t="s">
        <v>0</v>
      </c>
      <c r="B1" s="1" t="s">
        <v>1</v>
      </c>
      <c r="C1" s="1" t="s">
        <v>2</v>
      </c>
      <c r="D1" s="1" t="s">
        <v>3</v>
      </c>
      <c r="E1" s="1" t="s">
        <v>4</v>
      </c>
      <c r="F1" s="1" t="s">
        <v>5</v>
      </c>
      <c r="G1" s="1" t="s">
        <v>6</v>
      </c>
      <c r="H1" s="1" t="s">
        <v>7</v>
      </c>
      <c r="I1" s="1" t="s">
        <v>8</v>
      </c>
      <c r="J1" s="1" t="s">
        <v>9</v>
      </c>
    </row>
    <row r="2">
      <c r="A2" s="2"/>
      <c r="H2" s="3"/>
      <c r="I2" s="3"/>
    </row>
    <row r="3">
      <c r="A3" s="2"/>
      <c r="H3" s="3"/>
      <c r="I3"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3.63"/>
    <col customWidth="1" min="3" max="3" width="24.38"/>
    <col customWidth="1" min="6" max="6" width="21.13"/>
    <col customWidth="1" min="7" max="7" width="25.25"/>
  </cols>
  <sheetData>
    <row r="1">
      <c r="A1" s="1" t="s">
        <v>0</v>
      </c>
      <c r="B1" s="1" t="s">
        <v>1</v>
      </c>
      <c r="C1" s="1" t="s">
        <v>2</v>
      </c>
      <c r="D1" s="1" t="s">
        <v>3</v>
      </c>
      <c r="E1" s="1" t="s">
        <v>4</v>
      </c>
      <c r="F1" s="1" t="s">
        <v>5</v>
      </c>
      <c r="G1" s="1" t="s">
        <v>6</v>
      </c>
      <c r="H1" s="1" t="s">
        <v>7</v>
      </c>
      <c r="I1" s="1" t="s">
        <v>8</v>
      </c>
      <c r="J1" s="1" t="s">
        <v>9</v>
      </c>
    </row>
    <row r="2">
      <c r="A2" s="2">
        <v>45957.72700451389</v>
      </c>
      <c r="B2" s="1" t="s">
        <v>101</v>
      </c>
      <c r="C2" s="1" t="s">
        <v>130</v>
      </c>
      <c r="D2" s="1" t="s">
        <v>20</v>
      </c>
      <c r="E2" s="1" t="s">
        <v>91</v>
      </c>
      <c r="F2" s="1" t="s">
        <v>100</v>
      </c>
      <c r="G2" s="1" t="s">
        <v>103</v>
      </c>
      <c r="H2" s="3">
        <v>0.5416666666666666</v>
      </c>
      <c r="I2" s="3">
        <v>0.7083333333333334</v>
      </c>
      <c r="J2" s="1" t="s">
        <v>86</v>
      </c>
    </row>
    <row r="3">
      <c r="A3" s="2">
        <v>45957.72700451389</v>
      </c>
      <c r="B3" s="1" t="s">
        <v>131</v>
      </c>
      <c r="C3" s="1" t="s">
        <v>130</v>
      </c>
      <c r="D3" s="1" t="s">
        <v>20</v>
      </c>
      <c r="E3" s="1" t="s">
        <v>91</v>
      </c>
      <c r="F3" s="1" t="s">
        <v>132</v>
      </c>
      <c r="G3" s="1" t="s">
        <v>131</v>
      </c>
      <c r="H3" s="3">
        <v>0.4791666666666667</v>
      </c>
      <c r="I3" s="3">
        <v>0.5416666666666666</v>
      </c>
      <c r="J3" s="1" t="s">
        <v>83</v>
      </c>
    </row>
    <row r="4">
      <c r="A4" s="2">
        <v>45958.489643402776</v>
      </c>
      <c r="B4" s="1" t="s">
        <v>105</v>
      </c>
      <c r="C4" s="1" t="s">
        <v>133</v>
      </c>
      <c r="D4" s="1" t="s">
        <v>20</v>
      </c>
      <c r="E4" s="1" t="s">
        <v>91</v>
      </c>
      <c r="F4" s="1" t="s">
        <v>104</v>
      </c>
      <c r="G4" s="1" t="s">
        <v>106</v>
      </c>
      <c r="H4" s="3">
        <v>0.375</v>
      </c>
      <c r="I4" s="3">
        <v>0.4583333333333333</v>
      </c>
      <c r="J4" s="1" t="s">
        <v>86</v>
      </c>
    </row>
    <row r="5">
      <c r="A5" s="2">
        <v>45958.489643402776</v>
      </c>
      <c r="B5" s="1" t="s">
        <v>134</v>
      </c>
      <c r="C5" s="1" t="s">
        <v>133</v>
      </c>
      <c r="D5" s="1" t="s">
        <v>20</v>
      </c>
      <c r="E5" s="1" t="s">
        <v>91</v>
      </c>
      <c r="F5" s="1" t="s">
        <v>116</v>
      </c>
      <c r="G5" s="1" t="s">
        <v>135</v>
      </c>
      <c r="H5" s="3">
        <v>0.4583333333333333</v>
      </c>
      <c r="I5" s="3">
        <v>0.5416666666666666</v>
      </c>
      <c r="J5" s="1" t="s">
        <v>86</v>
      </c>
    </row>
    <row r="6">
      <c r="A6" s="8">
        <v>45957.0</v>
      </c>
      <c r="B6" s="1" t="s">
        <v>136</v>
      </c>
      <c r="C6" s="1" t="s">
        <v>133</v>
      </c>
      <c r="D6" s="1" t="s">
        <v>20</v>
      </c>
      <c r="E6" s="1" t="s">
        <v>91</v>
      </c>
      <c r="F6" s="1" t="s">
        <v>137</v>
      </c>
      <c r="G6" s="1" t="s">
        <v>138</v>
      </c>
      <c r="H6" s="3">
        <v>0.5416666666666666</v>
      </c>
      <c r="I6" s="3">
        <v>0.7083333333333334</v>
      </c>
      <c r="J6" s="1" t="s">
        <v>83</v>
      </c>
    </row>
    <row r="7">
      <c r="A7" s="2">
        <v>45958.71487447916</v>
      </c>
      <c r="B7" s="1" t="s">
        <v>101</v>
      </c>
      <c r="C7" s="1" t="s">
        <v>130</v>
      </c>
      <c r="D7" s="1" t="s">
        <v>20</v>
      </c>
      <c r="E7" s="1" t="s">
        <v>91</v>
      </c>
      <c r="F7" s="1" t="s">
        <v>100</v>
      </c>
      <c r="G7" s="1" t="s">
        <v>103</v>
      </c>
      <c r="H7" s="3">
        <v>0.375</v>
      </c>
      <c r="I7" s="3">
        <v>0.7083333333333334</v>
      </c>
      <c r="J7" s="1" t="s">
        <v>86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25"/>
  </cols>
  <sheetData>
    <row r="1">
      <c r="A1" s="1" t="s">
        <v>0</v>
      </c>
      <c r="B1" s="1" t="s">
        <v>1</v>
      </c>
      <c r="C1" s="1" t="s">
        <v>2</v>
      </c>
      <c r="D1" s="1" t="s">
        <v>3</v>
      </c>
      <c r="E1" s="1" t="s">
        <v>4</v>
      </c>
      <c r="F1" s="1" t="s">
        <v>5</v>
      </c>
      <c r="G1" s="1" t="s">
        <v>6</v>
      </c>
      <c r="H1" s="1" t="s">
        <v>7</v>
      </c>
      <c r="I1" s="1" t="s">
        <v>8</v>
      </c>
      <c r="J1" s="1" t="s">
        <v>9</v>
      </c>
    </row>
    <row r="2">
      <c r="A2" s="2"/>
      <c r="H2" s="3"/>
      <c r="I2" s="3"/>
    </row>
    <row r="3">
      <c r="A3" s="2"/>
      <c r="H3" s="3"/>
      <c r="I3" s="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73</v>
      </c>
      <c r="B1" s="1" t="s">
        <v>3</v>
      </c>
      <c r="C1" s="1" t="s">
        <v>4</v>
      </c>
      <c r="D1" s="1" t="s">
        <v>139</v>
      </c>
      <c r="E1" s="1" t="s">
        <v>140</v>
      </c>
      <c r="F1" s="1" t="s">
        <v>141</v>
      </c>
      <c r="G1" s="1" t="s">
        <v>142</v>
      </c>
    </row>
    <row r="2">
      <c r="A2" s="1" t="s">
        <v>143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8.75"/>
    <col customWidth="1" min="3" max="3" width="11.63"/>
    <col customWidth="1" min="4" max="4" width="25.63"/>
    <col customWidth="1" min="5" max="5" width="7.25"/>
    <col customWidth="1" min="6" max="6" width="5.88"/>
  </cols>
  <sheetData>
    <row r="1">
      <c r="A1" s="1" t="s">
        <v>144</v>
      </c>
      <c r="B1" s="1" t="s">
        <v>145</v>
      </c>
      <c r="C1" s="1" t="s">
        <v>3</v>
      </c>
      <c r="D1" s="1" t="s">
        <v>146</v>
      </c>
      <c r="E1" s="1" t="s">
        <v>147</v>
      </c>
      <c r="F1" s="1" t="s">
        <v>148</v>
      </c>
    </row>
    <row r="2">
      <c r="A2" s="1" t="s">
        <v>19</v>
      </c>
      <c r="B2" s="1"/>
      <c r="C2" s="1" t="s">
        <v>20</v>
      </c>
      <c r="D2" s="1" t="s">
        <v>149</v>
      </c>
      <c r="E2" s="1" t="s">
        <v>150</v>
      </c>
      <c r="F2" s="1" t="s">
        <v>150</v>
      </c>
    </row>
    <row r="3">
      <c r="A3" s="1" t="s">
        <v>19</v>
      </c>
      <c r="B3" s="1" t="s">
        <v>31</v>
      </c>
      <c r="C3" s="1" t="s">
        <v>20</v>
      </c>
      <c r="D3" s="1" t="s">
        <v>151</v>
      </c>
      <c r="E3" s="1" t="s">
        <v>2</v>
      </c>
      <c r="F3" s="1" t="s">
        <v>152</v>
      </c>
    </row>
    <row r="4">
      <c r="A4" s="1" t="s">
        <v>19</v>
      </c>
      <c r="B4" s="1" t="s">
        <v>153</v>
      </c>
      <c r="C4" s="1" t="s">
        <v>20</v>
      </c>
      <c r="D4" s="1" t="s">
        <v>133</v>
      </c>
      <c r="E4" s="1" t="s">
        <v>2</v>
      </c>
      <c r="F4" s="1" t="s">
        <v>152</v>
      </c>
    </row>
    <row r="5">
      <c r="A5" s="1" t="s">
        <v>15</v>
      </c>
      <c r="C5" s="1" t="s">
        <v>17</v>
      </c>
      <c r="D5" s="1" t="s">
        <v>154</v>
      </c>
      <c r="E5" s="1" t="s">
        <v>150</v>
      </c>
      <c r="F5" s="1" t="s">
        <v>150</v>
      </c>
    </row>
    <row r="6">
      <c r="A6" s="1" t="s">
        <v>15</v>
      </c>
      <c r="B6" s="1" t="s">
        <v>33</v>
      </c>
      <c r="C6" s="1" t="s">
        <v>17</v>
      </c>
      <c r="D6" s="1" t="s">
        <v>155</v>
      </c>
      <c r="E6" s="1" t="s">
        <v>2</v>
      </c>
      <c r="F6" s="1" t="s">
        <v>152</v>
      </c>
    </row>
    <row r="7">
      <c r="A7" s="1" t="s">
        <v>25</v>
      </c>
      <c r="C7" s="1" t="s">
        <v>26</v>
      </c>
      <c r="D7" s="1" t="s">
        <v>156</v>
      </c>
      <c r="E7" s="1" t="s">
        <v>150</v>
      </c>
      <c r="F7" s="1" t="s">
        <v>150</v>
      </c>
    </row>
    <row r="8">
      <c r="A8" s="1" t="s">
        <v>28</v>
      </c>
      <c r="C8" s="1" t="s">
        <v>29</v>
      </c>
      <c r="D8" s="1" t="s">
        <v>157</v>
      </c>
      <c r="E8" s="1" t="s">
        <v>150</v>
      </c>
      <c r="F8" s="1" t="s">
        <v>150</v>
      </c>
    </row>
    <row r="9">
      <c r="A9" s="1" t="s">
        <v>22</v>
      </c>
      <c r="C9" s="1" t="s">
        <v>23</v>
      </c>
      <c r="D9" s="1" t="s">
        <v>158</v>
      </c>
      <c r="E9" s="1" t="s">
        <v>150</v>
      </c>
      <c r="F9" s="1" t="s">
        <v>150</v>
      </c>
    </row>
    <row r="10">
      <c r="A10" s="1" t="s">
        <v>19</v>
      </c>
      <c r="B10" s="1" t="s">
        <v>159</v>
      </c>
      <c r="C10" s="1" t="s">
        <v>20</v>
      </c>
      <c r="D10" s="1" t="s">
        <v>130</v>
      </c>
      <c r="E10" s="1" t="s">
        <v>2</v>
      </c>
      <c r="F10" s="1" t="s">
        <v>152</v>
      </c>
    </row>
    <row r="11">
      <c r="A11" s="1" t="s">
        <v>25</v>
      </c>
      <c r="B11" s="1" t="s">
        <v>160</v>
      </c>
      <c r="C11" s="1" t="s">
        <v>26</v>
      </c>
      <c r="D11" s="1" t="s">
        <v>156</v>
      </c>
      <c r="E11" s="1" t="s">
        <v>2</v>
      </c>
      <c r="F11" s="1" t="s">
        <v>161</v>
      </c>
    </row>
    <row r="12">
      <c r="A12" s="1" t="s">
        <v>15</v>
      </c>
      <c r="B12" s="1" t="s">
        <v>153</v>
      </c>
      <c r="C12" s="1" t="s">
        <v>17</v>
      </c>
      <c r="D12" s="1" t="s">
        <v>133</v>
      </c>
      <c r="E12" s="1" t="s">
        <v>2</v>
      </c>
      <c r="F12" s="1" t="s">
        <v>152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v>
      </c>
      <c r="B1" s="1" t="s">
        <v>162</v>
      </c>
      <c r="C1" s="1" t="s">
        <v>163</v>
      </c>
      <c r="D1" s="1" t="s">
        <v>6</v>
      </c>
      <c r="E1" s="1" t="s">
        <v>73</v>
      </c>
      <c r="F1" s="1" t="s">
        <v>164</v>
      </c>
      <c r="G1" s="1" t="s">
        <v>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165</v>
      </c>
      <c r="B1" s="1" t="s">
        <v>166</v>
      </c>
      <c r="C1" s="1" t="s">
        <v>167</v>
      </c>
      <c r="D1" s="1" t="s">
        <v>168</v>
      </c>
      <c r="E1" s="1" t="s">
        <v>6</v>
      </c>
      <c r="F1" s="1" t="s">
        <v>3</v>
      </c>
      <c r="G1" s="1" t="s">
        <v>169</v>
      </c>
      <c r="H1" s="1" t="s">
        <v>170</v>
      </c>
      <c r="I1" s="1" t="s">
        <v>9</v>
      </c>
    </row>
    <row r="2">
      <c r="B2" s="1">
        <v>1.0</v>
      </c>
      <c r="C2" s="1" t="s">
        <v>123</v>
      </c>
      <c r="F2" s="1" t="s">
        <v>17</v>
      </c>
    </row>
    <row r="3">
      <c r="A3" s="1"/>
      <c r="B3" s="1">
        <v>2.0</v>
      </c>
      <c r="C3" s="1" t="s">
        <v>124</v>
      </c>
      <c r="F3" s="1" t="s">
        <v>20</v>
      </c>
    </row>
    <row r="4">
      <c r="A4" s="1"/>
      <c r="B4" s="1">
        <v>3.0</v>
      </c>
      <c r="C4" s="1" t="s">
        <v>54</v>
      </c>
      <c r="F4" s="1" t="s">
        <v>20</v>
      </c>
    </row>
    <row r="5">
      <c r="A5" s="1"/>
    </row>
    <row r="6">
      <c r="A6" s="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166</v>
      </c>
      <c r="B1" s="1" t="s">
        <v>167</v>
      </c>
      <c r="C1" s="1" t="s">
        <v>171</v>
      </c>
      <c r="D1" s="1" t="s">
        <v>170</v>
      </c>
      <c r="E1" s="1" t="s">
        <v>172</v>
      </c>
      <c r="F1" s="1" t="s">
        <v>76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162</v>
      </c>
      <c r="C1" s="1" t="s">
        <v>173</v>
      </c>
    </row>
    <row r="2">
      <c r="A2" s="1" t="s">
        <v>174</v>
      </c>
    </row>
    <row r="3">
      <c r="C3" s="1" t="s">
        <v>175</v>
      </c>
    </row>
  </sheetData>
  <dataValidations>
    <dataValidation type="list" allowBlank="1" showErrorMessage="1" sqref="A2">
      <formula1>"Asem Alroomy, Nehal Ashraf, Assem Murad,Ahmed Mohsen,Rawan,maged mohamed ,seif eldeen ,mohanad"</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s>
  <sheetData>
    <row r="1">
      <c r="A1" s="1" t="s">
        <v>11</v>
      </c>
      <c r="B1" s="1" t="s">
        <v>147</v>
      </c>
      <c r="C1" s="1" t="s">
        <v>88</v>
      </c>
      <c r="D1" s="1" t="s">
        <v>176</v>
      </c>
      <c r="E1" s="1" t="s">
        <v>146</v>
      </c>
    </row>
    <row r="2">
      <c r="A2" s="1" t="s">
        <v>95</v>
      </c>
      <c r="B2" s="1" t="s">
        <v>177</v>
      </c>
      <c r="C2" s="1" t="s">
        <v>178</v>
      </c>
      <c r="D2" s="1" t="s">
        <v>179</v>
      </c>
      <c r="E2" s="1" t="s">
        <v>180</v>
      </c>
    </row>
    <row r="3">
      <c r="A3" s="1" t="s">
        <v>15</v>
      </c>
      <c r="B3" s="1" t="s">
        <v>89</v>
      </c>
      <c r="C3" s="1" t="s">
        <v>178</v>
      </c>
      <c r="D3" s="1" t="s">
        <v>179</v>
      </c>
      <c r="E3" s="1" t="s">
        <v>154</v>
      </c>
    </row>
    <row r="4">
      <c r="A4" s="1" t="s">
        <v>22</v>
      </c>
      <c r="B4" s="1" t="s">
        <v>150</v>
      </c>
      <c r="C4" s="1" t="s">
        <v>23</v>
      </c>
      <c r="D4" s="1" t="s">
        <v>181</v>
      </c>
      <c r="E4" s="1" t="s">
        <v>158</v>
      </c>
    </row>
    <row r="5">
      <c r="A5" s="1" t="s">
        <v>19</v>
      </c>
      <c r="B5" s="1" t="s">
        <v>150</v>
      </c>
      <c r="C5" s="1" t="s">
        <v>20</v>
      </c>
      <c r="D5" s="1" t="s">
        <v>181</v>
      </c>
      <c r="E5" s="1" t="s">
        <v>149</v>
      </c>
    </row>
    <row r="6">
      <c r="A6" s="1" t="s">
        <v>25</v>
      </c>
      <c r="B6" s="1" t="s">
        <v>150</v>
      </c>
      <c r="C6" s="1" t="s">
        <v>26</v>
      </c>
      <c r="D6" s="1" t="s">
        <v>181</v>
      </c>
      <c r="E6" s="1" t="s">
        <v>182</v>
      </c>
    </row>
    <row r="7">
      <c r="A7" s="1" t="s">
        <v>28</v>
      </c>
      <c r="B7" s="1" t="s">
        <v>150</v>
      </c>
      <c r="C7" s="1" t="s">
        <v>29</v>
      </c>
      <c r="D7" s="1" t="s">
        <v>181</v>
      </c>
      <c r="E7" s="1" t="s">
        <v>157</v>
      </c>
    </row>
    <row r="8">
      <c r="A8" s="1" t="s">
        <v>33</v>
      </c>
      <c r="B8" s="1" t="s">
        <v>2</v>
      </c>
      <c r="C8" s="1" t="s">
        <v>17</v>
      </c>
      <c r="D8" s="1" t="s">
        <v>183</v>
      </c>
      <c r="E8" s="1" t="s">
        <v>184</v>
      </c>
    </row>
    <row r="9">
      <c r="A9" s="1" t="s">
        <v>31</v>
      </c>
      <c r="B9" s="1" t="s">
        <v>2</v>
      </c>
      <c r="C9" s="1" t="s">
        <v>20</v>
      </c>
      <c r="D9" s="1" t="s">
        <v>183</v>
      </c>
      <c r="E9" s="1" t="s">
        <v>151</v>
      </c>
    </row>
    <row r="10">
      <c r="A10" s="1"/>
      <c r="B10" s="1"/>
      <c r="C10" s="1"/>
      <c r="D10" s="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5" max="5" width="19.0"/>
  </cols>
  <sheetData>
    <row r="1">
      <c r="A1" s="1" t="s">
        <v>3</v>
      </c>
      <c r="B1" s="1" t="s">
        <v>139</v>
      </c>
      <c r="C1" s="1" t="s">
        <v>140</v>
      </c>
      <c r="D1" s="1" t="s">
        <v>141</v>
      </c>
      <c r="E1" s="1" t="s">
        <v>142</v>
      </c>
    </row>
    <row r="2">
      <c r="A2" s="1" t="s">
        <v>185</v>
      </c>
    </row>
    <row r="4">
      <c r="A4" s="9"/>
    </row>
    <row r="5">
      <c r="A5" s="9"/>
    </row>
    <row r="6">
      <c r="A6" s="9"/>
      <c r="B6" s="9"/>
    </row>
    <row r="8">
      <c r="A8" s="9"/>
    </row>
    <row r="11">
      <c r="A11" s="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4.88"/>
    <col customWidth="1" min="4" max="4" width="28.38"/>
    <col customWidth="1" min="5" max="5" width="22.5"/>
  </cols>
  <sheetData>
    <row r="1">
      <c r="A1" s="10" t="s">
        <v>186</v>
      </c>
    </row>
    <row r="2">
      <c r="D2" s="1" t="s">
        <v>187</v>
      </c>
      <c r="E2" s="11">
        <v>45947.713171296295</v>
      </c>
    </row>
    <row r="3">
      <c r="A3" s="12" t="s">
        <v>188</v>
      </c>
      <c r="B3" s="12" t="s">
        <v>189</v>
      </c>
    </row>
    <row r="4">
      <c r="A4" s="13" t="s">
        <v>190</v>
      </c>
      <c r="B4" s="13">
        <f>COUNTIF(Embedded_Responses!A3:A1000, "&lt;&gt;") + COUNTIF(AI_Data_Responses!A2:A1000, "&lt;&gt;") + COUNTIF(Mechanical_Responses!A2:A1000, "&lt;&gt;")</f>
        <v>6</v>
      </c>
    </row>
    <row r="5">
      <c r="A5" s="13" t="s">
        <v>191</v>
      </c>
      <c r="B5" s="14">
        <f>COUNTIF(Embedded_Responses!A3:A1000, "&lt;&gt;")</f>
        <v>0</v>
      </c>
    </row>
    <row r="6">
      <c r="A6" s="13" t="s">
        <v>192</v>
      </c>
      <c r="B6" s="14">
        <f>COUNTIF(AI_Data_Responses!A2:A1000, "&lt;&gt;")</f>
        <v>0</v>
      </c>
    </row>
    <row r="7">
      <c r="A7" s="13" t="s">
        <v>193</v>
      </c>
      <c r="B7" s="14">
        <f>COUNTIF(Mechanical_Responses!A2:A1000, "&lt;&gt;")</f>
        <v>6</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194</v>
      </c>
      <c r="B1" s="1" t="s">
        <v>2</v>
      </c>
      <c r="C1" s="1" t="s">
        <v>3</v>
      </c>
      <c r="D1" s="1" t="s">
        <v>4</v>
      </c>
      <c r="E1" s="1" t="s">
        <v>60</v>
      </c>
      <c r="F1" s="1" t="s">
        <v>195</v>
      </c>
      <c r="G1" s="1" t="s">
        <v>196</v>
      </c>
      <c r="H1" s="1" t="s">
        <v>78</v>
      </c>
      <c r="I1" s="1" t="s">
        <v>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194</v>
      </c>
      <c r="B1" s="1" t="s">
        <v>2</v>
      </c>
      <c r="C1" s="1" t="s">
        <v>3</v>
      </c>
      <c r="D1" s="1" t="s">
        <v>4</v>
      </c>
      <c r="E1" s="1" t="s">
        <v>60</v>
      </c>
      <c r="F1" s="1" t="s">
        <v>150</v>
      </c>
      <c r="G1" s="1" t="s">
        <v>197</v>
      </c>
      <c r="H1" s="1" t="s">
        <v>198</v>
      </c>
      <c r="I1" s="1" t="s">
        <v>199</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73</v>
      </c>
      <c r="C1" s="1" t="s">
        <v>2</v>
      </c>
      <c r="D1" s="1" t="s">
        <v>3</v>
      </c>
      <c r="E1" s="1" t="s">
        <v>4</v>
      </c>
      <c r="F1" s="1" t="s">
        <v>60</v>
      </c>
      <c r="G1" s="1" t="s">
        <v>74</v>
      </c>
      <c r="H1" s="1" t="s">
        <v>6</v>
      </c>
      <c r="I1" s="1" t="s">
        <v>7</v>
      </c>
      <c r="J1" s="1" t="s">
        <v>8</v>
      </c>
      <c r="K1" s="1" t="s">
        <v>200</v>
      </c>
      <c r="L1" s="1" t="s">
        <v>9</v>
      </c>
      <c r="M1" s="1" t="s">
        <v>76</v>
      </c>
      <c r="N1" s="1" t="s">
        <v>77</v>
      </c>
      <c r="O1" s="1" t="s">
        <v>78</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73</v>
      </c>
      <c r="C1" s="1" t="s">
        <v>2</v>
      </c>
      <c r="D1" s="1" t="s">
        <v>3</v>
      </c>
      <c r="E1" s="1" t="s">
        <v>4</v>
      </c>
      <c r="F1" s="1" t="s">
        <v>60</v>
      </c>
      <c r="G1" s="1" t="s">
        <v>201</v>
      </c>
      <c r="H1" s="1" t="s">
        <v>202</v>
      </c>
      <c r="I1" s="1" t="s">
        <v>6</v>
      </c>
      <c r="J1" s="1" t="s">
        <v>7</v>
      </c>
      <c r="K1" s="1" t="s">
        <v>8</v>
      </c>
      <c r="L1" s="1" t="s">
        <v>203</v>
      </c>
      <c r="M1" s="1" t="s">
        <v>9</v>
      </c>
      <c r="N1" s="1" t="s">
        <v>76</v>
      </c>
      <c r="O1" s="1" t="s">
        <v>77</v>
      </c>
      <c r="P1" s="1" t="s">
        <v>78</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73</v>
      </c>
      <c r="C1" s="1" t="s">
        <v>2</v>
      </c>
      <c r="D1" s="1" t="s">
        <v>3</v>
      </c>
      <c r="E1" s="1" t="s">
        <v>4</v>
      </c>
      <c r="F1" s="1" t="s">
        <v>60</v>
      </c>
      <c r="G1" s="1" t="s">
        <v>204</v>
      </c>
      <c r="H1" s="1" t="s">
        <v>6</v>
      </c>
      <c r="I1" s="1" t="s">
        <v>7</v>
      </c>
      <c r="J1" s="1" t="s">
        <v>8</v>
      </c>
      <c r="K1" s="1" t="s">
        <v>205</v>
      </c>
      <c r="L1" s="1" t="s">
        <v>9</v>
      </c>
      <c r="M1" s="1" t="s">
        <v>76</v>
      </c>
      <c r="N1" s="1" t="s">
        <v>77</v>
      </c>
      <c r="O1" s="1" t="s">
        <v>78</v>
      </c>
    </row>
  </sheetData>
  <drawing r:id="rId1"/>
</worksheet>
</file>